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Pedro\Desktop\Area Trabalho\Coleta Dados\IBAMA\"/>
    </mc:Choice>
  </mc:AlternateContent>
  <bookViews>
    <workbookView xWindow="0" yWindow="0" windowWidth="20490" windowHeight="7050" tabRatio="500" activeTab="3"/>
  </bookViews>
  <sheets>
    <sheet name="Fontes" sheetId="2" r:id="rId1"/>
    <sheet name="Poluentes" sheetId="3" r:id="rId2"/>
    <sheet name="AERMOD_SOURCE" sheetId="1" r:id="rId3"/>
    <sheet name="Período" sheetId="4" r:id="rId4"/>
  </sheets>
  <definedNames>
    <definedName name="_xlnm._FilterDatabase" localSheetId="2">AERMOD_SOURCE!$A$1:$N$1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P2" i="4"/>
  <c r="N2" i="4"/>
  <c r="L13" i="4"/>
  <c r="L11" i="4"/>
  <c r="L9" i="4"/>
  <c r="L7" i="4"/>
  <c r="L4" i="4"/>
  <c r="L3" i="4"/>
  <c r="L2" i="4"/>
  <c r="J13" i="4"/>
  <c r="J12" i="4"/>
  <c r="J11" i="4"/>
  <c r="J9" i="4"/>
  <c r="J7" i="4"/>
  <c r="J6" i="4"/>
  <c r="J3" i="4"/>
  <c r="J2" i="4"/>
  <c r="H12" i="4"/>
  <c r="H11" i="4"/>
  <c r="H9" i="4"/>
  <c r="H7" i="4"/>
  <c r="H3" i="4"/>
  <c r="H2" i="4"/>
  <c r="F12" i="4"/>
  <c r="F10" i="4"/>
  <c r="F5" i="4"/>
  <c r="F4" i="4"/>
  <c r="F3" i="4"/>
  <c r="F2" i="4"/>
  <c r="D10" i="4"/>
  <c r="D5" i="4"/>
  <c r="D3" i="4"/>
  <c r="D2" i="4"/>
  <c r="B10" i="4"/>
  <c r="B5" i="4"/>
  <c r="B3" i="4"/>
  <c r="B2" i="4"/>
  <c r="S14" i="4" l="1"/>
  <c r="Q14" i="4"/>
  <c r="O14" i="4"/>
  <c r="M14" i="4"/>
  <c r="K14" i="4"/>
  <c r="I14" i="4"/>
  <c r="S13" i="4"/>
  <c r="Q13" i="4"/>
  <c r="O13" i="4"/>
  <c r="M13" i="4"/>
  <c r="K13" i="4"/>
  <c r="I13" i="4"/>
  <c r="S12" i="4"/>
  <c r="Q12" i="4"/>
  <c r="O12" i="4"/>
  <c r="M12" i="4"/>
  <c r="K12" i="4"/>
  <c r="I12" i="4"/>
  <c r="S11" i="4"/>
  <c r="Q11" i="4"/>
  <c r="O11" i="4"/>
  <c r="M11" i="4"/>
  <c r="K11" i="4"/>
  <c r="I11" i="4"/>
  <c r="S10" i="4"/>
  <c r="Q10" i="4"/>
  <c r="O10" i="4"/>
  <c r="M10" i="4"/>
  <c r="K10" i="4"/>
  <c r="I10" i="4"/>
  <c r="S9" i="4"/>
  <c r="Q9" i="4"/>
  <c r="Q8" i="4"/>
  <c r="O9" i="4"/>
  <c r="M9" i="4"/>
  <c r="K9" i="4"/>
  <c r="I9" i="4"/>
  <c r="S8" i="4"/>
  <c r="O8" i="4"/>
  <c r="M8" i="4"/>
  <c r="K8" i="4"/>
  <c r="I8" i="4"/>
  <c r="S7" i="4"/>
  <c r="Q7" i="4"/>
  <c r="O7" i="4"/>
  <c r="M7" i="4"/>
  <c r="K7" i="4"/>
  <c r="I7" i="4"/>
  <c r="S6" i="4"/>
  <c r="Q6" i="4"/>
  <c r="O6" i="4"/>
  <c r="M6" i="4"/>
  <c r="K6" i="4"/>
  <c r="I6" i="4"/>
  <c r="S5" i="4"/>
  <c r="Q5" i="4"/>
  <c r="O5" i="4"/>
  <c r="M5" i="4"/>
  <c r="K5" i="4"/>
  <c r="I5" i="4"/>
  <c r="I4" i="4"/>
  <c r="S4" i="4"/>
  <c r="Q4" i="4"/>
  <c r="O4" i="4"/>
  <c r="M4" i="4"/>
  <c r="K4" i="4"/>
  <c r="I3" i="4"/>
  <c r="S3" i="4"/>
  <c r="Q3" i="4"/>
  <c r="O3" i="4"/>
  <c r="M3" i="4"/>
  <c r="K3" i="4"/>
  <c r="I2" i="4"/>
  <c r="S2" i="4"/>
  <c r="Q2" i="4"/>
  <c r="O2" i="4"/>
  <c r="M2" i="4"/>
  <c r="K2" i="4"/>
  <c r="C2" i="4"/>
  <c r="G14" i="4" l="1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G3" i="4"/>
  <c r="E3" i="4"/>
  <c r="C3" i="4"/>
  <c r="G2" i="4"/>
  <c r="E2" i="4"/>
  <c r="M2" i="1"/>
  <c r="U14" i="1" l="1"/>
  <c r="Q14" i="1"/>
  <c r="M14" i="1"/>
  <c r="U13" i="1" l="1"/>
  <c r="Q13" i="1"/>
  <c r="M13" i="1"/>
  <c r="U12" i="1"/>
  <c r="Q12" i="1"/>
  <c r="M12" i="1"/>
  <c r="U11" i="1"/>
  <c r="Q11" i="1"/>
  <c r="M11" i="1"/>
  <c r="U10" i="1"/>
  <c r="Q10" i="1"/>
  <c r="M10" i="1"/>
  <c r="U9" i="1"/>
  <c r="Q9" i="1"/>
  <c r="M9" i="1"/>
  <c r="U8" i="1"/>
  <c r="Q8" i="1"/>
  <c r="M8" i="1"/>
  <c r="U7" i="1"/>
  <c r="Q7" i="1"/>
  <c r="M7" i="1"/>
  <c r="U6" i="1"/>
  <c r="Q6" i="1"/>
  <c r="M6" i="1"/>
  <c r="U5" i="1"/>
  <c r="Q5" i="1"/>
  <c r="M5" i="1"/>
  <c r="U4" i="1"/>
  <c r="Q4" i="1"/>
  <c r="M4" i="1"/>
  <c r="U3" i="1"/>
  <c r="Q3" i="1"/>
  <c r="M3" i="1"/>
  <c r="U2" i="1"/>
  <c r="Q2" i="1"/>
</calcChain>
</file>

<file path=xl/sharedStrings.xml><?xml version="1.0" encoding="utf-8"?>
<sst xmlns="http://schemas.openxmlformats.org/spreadsheetml/2006/main" count="215" uniqueCount="165">
  <si>
    <t>fonte</t>
  </si>
  <si>
    <t>tipo</t>
  </si>
  <si>
    <t>Long</t>
  </si>
  <si>
    <t>Lat</t>
  </si>
  <si>
    <t>Altitude</t>
  </si>
  <si>
    <t>Altura da chaminé</t>
  </si>
  <si>
    <t>Temperatura de saída</t>
  </si>
  <si>
    <t>Velocidade de saída</t>
  </si>
  <si>
    <t>Diâmetro</t>
  </si>
  <si>
    <t>POINT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</si>
  <si>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</si>
  <si>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</si>
  <si>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</si>
  <si>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</si>
  <si>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</si>
  <si>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</si>
  <si>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</si>
  <si>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</si>
  <si>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</si>
  <si>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</si>
  <si>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</si>
  <si>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</si>
  <si>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</si>
  <si>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223388.158</t>
  </si>
  <si>
    <t>7259860.793</t>
  </si>
  <si>
    <t>515.48</t>
  </si>
  <si>
    <t>Fonte</t>
  </si>
  <si>
    <t>Código</t>
  </si>
  <si>
    <t>25.0</t>
  </si>
  <si>
    <t>20.0</t>
  </si>
  <si>
    <t>30.0</t>
  </si>
  <si>
    <t>13.0</t>
  </si>
  <si>
    <t>21.0</t>
  </si>
  <si>
    <t>22.0</t>
  </si>
  <si>
    <t>23.0</t>
  </si>
  <si>
    <t>27.0</t>
  </si>
  <si>
    <t>26.0</t>
  </si>
  <si>
    <t>28.0</t>
  </si>
  <si>
    <t>481.75</t>
  </si>
  <si>
    <t>301.75</t>
  </si>
  <si>
    <t>310.75</t>
  </si>
  <si>
    <t>255.75</t>
  </si>
  <si>
    <t>240.75</t>
  </si>
  <si>
    <t>280.00</t>
  </si>
  <si>
    <t>210.75</t>
  </si>
  <si>
    <t>299.70</t>
  </si>
  <si>
    <t>270.60</t>
  </si>
  <si>
    <t>230.40</t>
  </si>
  <si>
    <t>220.55</t>
  </si>
  <si>
    <t>3.50</t>
  </si>
  <si>
    <t>8.11</t>
  </si>
  <si>
    <t>1.11</t>
  </si>
  <si>
    <t>4.55</t>
  </si>
  <si>
    <t>5.23</t>
  </si>
  <si>
    <t>6.44</t>
  </si>
  <si>
    <t>7.89</t>
  </si>
  <si>
    <t>7.11</t>
  </si>
  <si>
    <t>3.14</t>
  </si>
  <si>
    <t>4.13</t>
  </si>
  <si>
    <t>2.88</t>
  </si>
  <si>
    <t>1.25</t>
  </si>
  <si>
    <t>7.10</t>
  </si>
  <si>
    <t>0.4</t>
  </si>
  <si>
    <t>1.4</t>
  </si>
  <si>
    <t>1.0</t>
  </si>
  <si>
    <t>1.5</t>
  </si>
  <si>
    <t>1.6</t>
  </si>
  <si>
    <t>1.7</t>
  </si>
  <si>
    <t>1.8</t>
  </si>
  <si>
    <t>1.2</t>
  </si>
  <si>
    <t>1.1</t>
  </si>
  <si>
    <t>2.2</t>
  </si>
  <si>
    <t>2.3</t>
  </si>
  <si>
    <t>2.6</t>
  </si>
  <si>
    <t>1.3</t>
  </si>
  <si>
    <t>CARGILL ALIMENTOS LTDA</t>
  </si>
  <si>
    <t>DE HEUS INDÚSTRIA E COMÉRCIO DE NUTRIÇÃO ANIMAL LTDA</t>
  </si>
  <si>
    <t>TECTRON IMPORTADORA E EXPORTADORA DE PRODUTOS VETERINÁRIOS LTDA</t>
  </si>
  <si>
    <t>HUMUSFERTIL PRODUTOS PARA JARDINAGEM EIRELI</t>
  </si>
  <si>
    <t>BOMBONATTO IND. E COM. DE COUROS LTDA</t>
  </si>
  <si>
    <t>COMPENSADOS CIDADE ALTA LTDA</t>
  </si>
  <si>
    <t>VACCINAR INDUSTRIA E COMERCIO LTDA</t>
  </si>
  <si>
    <t>VIFRAN FABRICA E COMÉRCIO DE MÓVEIS LTDA - ME</t>
  </si>
  <si>
    <t>PRATI DONADUZZI E CIA LTDA</t>
  </si>
  <si>
    <t>COPACOL COOPERATIVA AGROINDUSTRIAL CONSOLATA</t>
  </si>
  <si>
    <t>TECNURBE MANEJO E LOGISTICA DE RESIDUOS LTDA</t>
  </si>
  <si>
    <t>CNPJ</t>
  </si>
  <si>
    <t>01.838.723/0376-32</t>
  </si>
  <si>
    <t>BRF S/A</t>
  </si>
  <si>
    <t>01.961.898/0005-50</t>
  </si>
  <si>
    <t>02.513.991/0004-84</t>
  </si>
  <si>
    <t>05.140.162/0001-49</t>
  </si>
  <si>
    <t>05.774.939/0001-27</t>
  </si>
  <si>
    <t>07.426.825/0001-11</t>
  </si>
  <si>
    <t>08.945.886/0001-58</t>
  </si>
  <si>
    <t>21.820.014/0018-70</t>
  </si>
  <si>
    <t>24.371.311/0001-25</t>
  </si>
  <si>
    <t>24.761.558/0001-58</t>
  </si>
  <si>
    <t>73.856.593/0001-66</t>
  </si>
  <si>
    <t>76.093.731/0079-50</t>
  </si>
  <si>
    <t>97.553.298/0001-07</t>
  </si>
  <si>
    <t>Sigla</t>
  </si>
  <si>
    <t>Material particulado</t>
  </si>
  <si>
    <t>MP</t>
  </si>
  <si>
    <t>Poluente</t>
  </si>
  <si>
    <t>CO</t>
  </si>
  <si>
    <t>NOx</t>
  </si>
  <si>
    <t>Monóxido de carbono</t>
  </si>
  <si>
    <t>Óxidos de nitrogênio</t>
  </si>
  <si>
    <t>226527.240</t>
  </si>
  <si>
    <t>7264196.760</t>
  </si>
  <si>
    <t>217568.680</t>
  </si>
  <si>
    <t>7260176.570</t>
  </si>
  <si>
    <t>Estado</t>
  </si>
  <si>
    <t>226556.730</t>
  </si>
  <si>
    <t>7260741.690</t>
  </si>
  <si>
    <t>220542.940</t>
  </si>
  <si>
    <t>7256701.870</t>
  </si>
  <si>
    <t>217691.610</t>
  </si>
  <si>
    <t>7260127.890</t>
  </si>
  <si>
    <t>227125.440</t>
  </si>
  <si>
    <t>7260495.800</t>
  </si>
  <si>
    <t>227349.710</t>
  </si>
  <si>
    <t>7258882.730</t>
  </si>
  <si>
    <t>223516.320</t>
  </si>
  <si>
    <t>7261626.860</t>
  </si>
  <si>
    <t>COMERCIAL AGRICOLA TOLEDO LTDA - FINO ALIMENTOS</t>
  </si>
  <si>
    <t>213434.840</t>
  </si>
  <si>
    <t>7266521.280</t>
  </si>
  <si>
    <t>220739.610</t>
  </si>
  <si>
    <t>7263409.740</t>
  </si>
  <si>
    <t>222962.670</t>
  </si>
  <si>
    <t>7265131.570</t>
  </si>
  <si>
    <t>227155.260</t>
  </si>
  <si>
    <t>7262952.200</t>
  </si>
  <si>
    <t>Taxa MP 2019</t>
  </si>
  <si>
    <t>Taxa MP 2020</t>
  </si>
  <si>
    <t>Taxa MP 2021</t>
  </si>
  <si>
    <t>Média MP</t>
  </si>
  <si>
    <t>Taxa CO 2020</t>
  </si>
  <si>
    <t>Taxa CO 2019</t>
  </si>
  <si>
    <t>Taxa CO 2021</t>
  </si>
  <si>
    <t>Média CO</t>
  </si>
  <si>
    <t>Taxa NOx 2019</t>
  </si>
  <si>
    <t>Taxa NOx 2020</t>
  </si>
  <si>
    <t>Taxa NOx 2021</t>
  </si>
  <si>
    <t>Média NOx</t>
  </si>
  <si>
    <t>Leste-Oeste (X) e Norte-Sul (Y)</t>
  </si>
  <si>
    <t>X = LONGITUDE / Y = LATITUDE</t>
  </si>
  <si>
    <t>PM10 - 2019</t>
  </si>
  <si>
    <t>PM10 - 2020</t>
  </si>
  <si>
    <t>PM10 - 2021</t>
  </si>
  <si>
    <t>CO - 2019</t>
  </si>
  <si>
    <t>CO - 2020</t>
  </si>
  <si>
    <t>CO - 2021</t>
  </si>
  <si>
    <t>NOX - 2019</t>
  </si>
  <si>
    <t>NOX - 2020</t>
  </si>
  <si>
    <t>NOX - 2021</t>
  </si>
  <si>
    <t>Período</t>
  </si>
  <si>
    <t>Janeiro/Fevereiro/Março</t>
  </si>
  <si>
    <t>Abril/Maio/Junho</t>
  </si>
  <si>
    <t>Julho/Agosto/Setembro</t>
  </si>
  <si>
    <t>Outubro/Novembro/Dezembro</t>
  </si>
  <si>
    <t>Convertido de toneladas anual para gramas por segundo (1 tonelada por ano (t/y) = 0.0316857 gramas por segundo (g/s)</t>
  </si>
  <si>
    <t>1 tonelada = 1000kg e 1000kg = 1000.000g (divide por 365 dias / divide por 24 horas /  divide por 3600 segundos (1 hora tem 60min / 1 min tem 60 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</si>
</sst>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3" fillId="0" borderId="0" xfId="0" applyNumberFormat="1" applyFont="1"/>
    <xf numFmtId="2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 vertical="center"/>
    </xf>
    <xf numFmtId="2" fontId="0" fillId="0" borderId="0" xfId="0" applyNumberFormat="1"/>
    <xf numFmtId="164" fontId="4" fillId="0" borderId="0" xfId="0" applyNumberFormat="1" applyFont="1"/>
    <xf numFmtId="0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Normal="100" workbookViewId="0">
      <selection activeCell="B15" sqref="B15"/>
    </sheetView>
  </sheetViews>
  <sheetFormatPr defaultRowHeight="15" x14ac:dyDescent="0.25"/>
  <cols>
    <col min="1" max="1" width="8.5703125" customWidth="1"/>
    <col min="2" max="2" width="69" customWidth="1"/>
    <col min="3" max="3" width="20.42578125" customWidth="1"/>
    <col min="4" max="4" width="13.140625" customWidth="1"/>
    <col min="5" max="1025" width="8.5703125" customWidth="1"/>
  </cols>
  <sheetData>
    <row r="1" spans="1:4" x14ac:dyDescent="0.25">
      <c r="A1" s="7" t="s">
        <v>27</v>
      </c>
      <c r="B1" s="7" t="s">
        <v>26</v>
      </c>
      <c r="C1" s="7" t="s">
        <v>86</v>
      </c>
      <c r="D1" s="7" t="s">
        <v>113</v>
      </c>
    </row>
    <row r="2" spans="1:4" x14ac:dyDescent="0.25">
      <c r="A2" t="s">
        <v>10</v>
      </c>
      <c r="B2" t="s">
        <v>88</v>
      </c>
      <c r="C2" t="s">
        <v>87</v>
      </c>
    </row>
    <row r="3" spans="1:4" x14ac:dyDescent="0.25">
      <c r="A3" t="s">
        <v>11</v>
      </c>
      <c r="B3" t="s">
        <v>75</v>
      </c>
      <c r="C3" t="s">
        <v>89</v>
      </c>
    </row>
    <row r="4" spans="1:4" x14ac:dyDescent="0.25">
      <c r="A4" t="s">
        <v>12</v>
      </c>
      <c r="B4" t="s">
        <v>76</v>
      </c>
      <c r="C4" t="s">
        <v>90</v>
      </c>
    </row>
    <row r="5" spans="1:4" x14ac:dyDescent="0.25">
      <c r="A5" t="s">
        <v>13</v>
      </c>
      <c r="B5" t="s">
        <v>77</v>
      </c>
      <c r="C5" t="s">
        <v>91</v>
      </c>
    </row>
    <row r="6" spans="1:4" x14ac:dyDescent="0.25">
      <c r="A6" t="s">
        <v>14</v>
      </c>
      <c r="B6" t="s">
        <v>78</v>
      </c>
      <c r="C6" t="s">
        <v>92</v>
      </c>
    </row>
    <row r="7" spans="1:4" x14ac:dyDescent="0.25">
      <c r="A7" t="s">
        <v>15</v>
      </c>
      <c r="B7" t="s">
        <v>79</v>
      </c>
      <c r="C7" t="s">
        <v>93</v>
      </c>
    </row>
    <row r="8" spans="1:4" x14ac:dyDescent="0.25">
      <c r="A8" t="s">
        <v>16</v>
      </c>
      <c r="B8" t="s">
        <v>80</v>
      </c>
      <c r="C8" t="s">
        <v>94</v>
      </c>
    </row>
    <row r="9" spans="1:4" x14ac:dyDescent="0.25">
      <c r="A9" t="s">
        <v>17</v>
      </c>
      <c r="B9" t="s">
        <v>81</v>
      </c>
      <c r="C9" t="s">
        <v>95</v>
      </c>
    </row>
    <row r="10" spans="1:4" x14ac:dyDescent="0.25">
      <c r="A10" t="s">
        <v>18</v>
      </c>
      <c r="B10" t="s">
        <v>82</v>
      </c>
      <c r="C10" t="s">
        <v>96</v>
      </c>
    </row>
    <row r="11" spans="1:4" x14ac:dyDescent="0.25">
      <c r="A11" t="s">
        <v>19</v>
      </c>
      <c r="B11" t="s">
        <v>126</v>
      </c>
      <c r="C11" t="s">
        <v>97</v>
      </c>
    </row>
    <row r="12" spans="1:4" x14ac:dyDescent="0.25">
      <c r="A12" t="s">
        <v>20</v>
      </c>
      <c r="B12" t="s">
        <v>83</v>
      </c>
      <c r="C12" t="s">
        <v>98</v>
      </c>
    </row>
    <row r="13" spans="1:4" x14ac:dyDescent="0.25">
      <c r="A13" t="s">
        <v>21</v>
      </c>
      <c r="B13" t="s">
        <v>84</v>
      </c>
      <c r="C13" t="s">
        <v>99</v>
      </c>
    </row>
    <row r="14" spans="1:4" x14ac:dyDescent="0.25">
      <c r="A14" t="s">
        <v>22</v>
      </c>
      <c r="B14" t="s">
        <v>85</v>
      </c>
      <c r="C14" t="s">
        <v>100</v>
      </c>
    </row>
  </sheetData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Normal="100" workbookViewId="0">
      <selection activeCell="D6" sqref="D6"/>
    </sheetView>
  </sheetViews>
  <sheetFormatPr defaultRowHeight="15" x14ac:dyDescent="0.25"/>
  <cols>
    <col min="1" max="1" width="22" customWidth="1"/>
    <col min="2" max="2" width="15.42578125" customWidth="1"/>
    <col min="3" max="3" width="10" customWidth="1"/>
    <col min="4" max="1025" width="8.5703125" customWidth="1"/>
  </cols>
  <sheetData>
    <row r="1" spans="1:3" x14ac:dyDescent="0.25">
      <c r="A1" s="7" t="s">
        <v>104</v>
      </c>
      <c r="B1" s="7" t="s">
        <v>101</v>
      </c>
      <c r="C1" t="s">
        <v>147</v>
      </c>
    </row>
    <row r="2" spans="1:3" x14ac:dyDescent="0.25">
      <c r="A2" t="s">
        <v>102</v>
      </c>
      <c r="B2" t="s">
        <v>103</v>
      </c>
      <c r="C2" t="s">
        <v>148</v>
      </c>
    </row>
    <row r="3" spans="1:3" x14ac:dyDescent="0.25">
      <c r="A3" t="s">
        <v>107</v>
      </c>
      <c r="B3" t="s">
        <v>105</v>
      </c>
    </row>
    <row r="4" spans="1:3" x14ac:dyDescent="0.25">
      <c r="A4" t="s">
        <v>108</v>
      </c>
      <c r="B4" t="s">
        <v>106</v>
      </c>
    </row>
  </sheetData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zoomScale="80" zoomScaleNormal="80" workbookViewId="0">
      <selection activeCell="J2" sqref="J2"/>
    </sheetView>
  </sheetViews>
  <sheetFormatPr defaultRowHeight="15" x14ac:dyDescent="0.25"/>
  <cols>
    <col min="1" max="2" width="8.5703125" customWidth="1"/>
    <col min="3" max="3" width="13.85546875" customWidth="1"/>
    <col min="4" max="4" width="12.7109375" customWidth="1"/>
    <col min="5" max="5" width="10.42578125" customWidth="1"/>
    <col min="6" max="6" width="17.28515625" customWidth="1"/>
    <col min="7" max="7" width="20.7109375" customWidth="1"/>
    <col min="8" max="8" width="18.85546875" customWidth="1"/>
    <col min="9" max="9" width="10.85546875" customWidth="1"/>
    <col min="10" max="10" width="13.7109375" customWidth="1"/>
    <col min="11" max="11" width="13.5703125" customWidth="1"/>
    <col min="12" max="12" width="12.85546875" customWidth="1"/>
    <col min="13" max="13" width="11.140625" customWidth="1"/>
    <col min="14" max="14" width="13.42578125" customWidth="1"/>
    <col min="15" max="15" width="13.140625" customWidth="1"/>
    <col min="16" max="16" width="12.42578125" customWidth="1"/>
    <col min="17" max="17" width="9.5703125" customWidth="1"/>
    <col min="18" max="18" width="14.42578125" customWidth="1"/>
    <col min="19" max="19" width="14.5703125" customWidth="1"/>
    <col min="20" max="20" width="14.85546875" customWidth="1"/>
    <col min="21" max="21" width="12.42578125" customWidth="1"/>
    <col min="22" max="1025" width="8.5703125" customWidth="1"/>
  </cols>
  <sheetData>
    <row r="1" spans="1: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135</v>
      </c>
      <c r="K1" s="7" t="s">
        <v>136</v>
      </c>
      <c r="L1" s="7" t="s">
        <v>137</v>
      </c>
      <c r="M1" s="7" t="s">
        <v>138</v>
      </c>
      <c r="N1" s="7" t="s">
        <v>140</v>
      </c>
      <c r="O1" s="7" t="s">
        <v>139</v>
      </c>
      <c r="P1" s="7" t="s">
        <v>141</v>
      </c>
      <c r="Q1" s="7" t="s">
        <v>142</v>
      </c>
      <c r="R1" s="7" t="s">
        <v>143</v>
      </c>
      <c r="S1" s="7" t="s">
        <v>144</v>
      </c>
      <c r="T1" s="7" t="s">
        <v>145</v>
      </c>
      <c r="U1" s="7" t="s">
        <v>146</v>
      </c>
    </row>
    <row r="2" spans="1:21" x14ac:dyDescent="0.25">
      <c r="A2" s="1" t="s">
        <v>10</v>
      </c>
      <c r="B2" t="s">
        <v>9</v>
      </c>
      <c r="C2" s="3" t="s">
        <v>23</v>
      </c>
      <c r="D2" s="3" t="s">
        <v>24</v>
      </c>
      <c r="E2" t="s">
        <v>25</v>
      </c>
      <c r="F2" s="5" t="s">
        <v>28</v>
      </c>
      <c r="G2" s="5" t="s">
        <v>38</v>
      </c>
      <c r="H2" s="5" t="s">
        <v>49</v>
      </c>
      <c r="I2" s="2" t="s">
        <v>62</v>
      </c>
      <c r="J2" s="11">
        <v>31.6</v>
      </c>
      <c r="K2" s="11">
        <v>67.599999999999994</v>
      </c>
      <c r="L2" s="11">
        <v>65.12</v>
      </c>
      <c r="M2" s="16">
        <f>(SUM(J2:K2:L2))/3</f>
        <v>54.773333333333333</v>
      </c>
      <c r="N2" s="11">
        <v>60.37</v>
      </c>
      <c r="O2" s="13">
        <v>130.83000000000001</v>
      </c>
      <c r="P2" s="11">
        <v>260.5</v>
      </c>
      <c r="Q2" s="15">
        <f>(SUM(N2:O2:P2))/3</f>
        <v>150.56666666666669</v>
      </c>
      <c r="R2" s="13">
        <v>28.43</v>
      </c>
      <c r="S2" s="13">
        <v>61.03</v>
      </c>
      <c r="T2" s="13">
        <v>110.75</v>
      </c>
      <c r="U2" s="15">
        <f>(SUM(R2:S2:T2))/3</f>
        <v>66.736666666666665</v>
      </c>
    </row>
    <row r="3" spans="1:21" x14ac:dyDescent="0.25">
      <c r="A3" s="9" t="s">
        <v>11</v>
      </c>
      <c r="B3" t="s">
        <v>9</v>
      </c>
      <c r="C3" s="8" t="s">
        <v>109</v>
      </c>
      <c r="D3" s="8" t="s">
        <v>110</v>
      </c>
      <c r="E3">
        <v>563.15</v>
      </c>
      <c r="F3" s="5" t="s">
        <v>29</v>
      </c>
      <c r="G3" s="5" t="s">
        <v>39</v>
      </c>
      <c r="H3" s="5" t="s">
        <v>50</v>
      </c>
      <c r="I3" s="2" t="s">
        <v>63</v>
      </c>
      <c r="J3" s="11">
        <v>3.46</v>
      </c>
      <c r="K3" s="11">
        <v>4.28</v>
      </c>
      <c r="L3" s="11">
        <v>2.68</v>
      </c>
      <c r="M3" s="16">
        <f>(SUM(J3:K3:L3))/3</f>
        <v>3.4733333333333332</v>
      </c>
      <c r="N3" s="11">
        <v>7.45</v>
      </c>
      <c r="O3" s="11">
        <v>6.6</v>
      </c>
      <c r="P3" s="11">
        <v>18.34</v>
      </c>
      <c r="Q3" s="15">
        <f>(SUM(N3:O3:P3))/3</f>
        <v>10.796666666666667</v>
      </c>
      <c r="R3" s="11">
        <v>0</v>
      </c>
      <c r="S3" s="11">
        <v>0</v>
      </c>
      <c r="T3" s="11">
        <v>0</v>
      </c>
      <c r="U3" s="15">
        <f>(SUM(R3:S3:T3))/3</f>
        <v>0</v>
      </c>
    </row>
    <row r="4" spans="1:21" x14ac:dyDescent="0.25">
      <c r="A4" s="9" t="s">
        <v>12</v>
      </c>
      <c r="B4" s="1" t="s">
        <v>9</v>
      </c>
      <c r="C4" s="10" t="s">
        <v>111</v>
      </c>
      <c r="D4" s="8" t="s">
        <v>112</v>
      </c>
      <c r="E4">
        <v>457.65</v>
      </c>
      <c r="F4" s="5" t="s">
        <v>30</v>
      </c>
      <c r="G4" s="5" t="s">
        <v>40</v>
      </c>
      <c r="H4" s="5" t="s">
        <v>51</v>
      </c>
      <c r="I4" s="2" t="s">
        <v>64</v>
      </c>
      <c r="J4" s="11">
        <v>0</v>
      </c>
      <c r="K4" s="11">
        <v>0</v>
      </c>
      <c r="L4" s="11">
        <v>0.15</v>
      </c>
      <c r="M4" s="16">
        <f>(SUM(J4:K4:L4))/3</f>
        <v>4.9999999999999996E-2</v>
      </c>
      <c r="N4" s="11">
        <v>0</v>
      </c>
      <c r="O4" s="11">
        <v>0</v>
      </c>
      <c r="P4" s="11">
        <v>11.12</v>
      </c>
      <c r="Q4" s="15">
        <f>(SUM(N4:O4:P4))/3</f>
        <v>3.7066666666666666</v>
      </c>
      <c r="R4" s="11">
        <v>0</v>
      </c>
      <c r="S4" s="11">
        <v>0</v>
      </c>
      <c r="T4" s="11">
        <v>0</v>
      </c>
      <c r="U4" s="15">
        <f>(SUM(R4:S4:T4))/3</f>
        <v>0</v>
      </c>
    </row>
    <row r="5" spans="1:21" x14ac:dyDescent="0.25">
      <c r="A5" s="9" t="s">
        <v>13</v>
      </c>
      <c r="B5" s="1" t="s">
        <v>9</v>
      </c>
      <c r="C5" s="8" t="s">
        <v>114</v>
      </c>
      <c r="D5" s="10" t="s">
        <v>115</v>
      </c>
      <c r="E5">
        <v>565.05999999999995</v>
      </c>
      <c r="F5" s="5" t="s">
        <v>31</v>
      </c>
      <c r="G5" s="5" t="s">
        <v>41</v>
      </c>
      <c r="H5" s="5" t="s">
        <v>52</v>
      </c>
      <c r="I5" s="2" t="s">
        <v>65</v>
      </c>
      <c r="J5" s="12">
        <v>0.01</v>
      </c>
      <c r="K5" s="11">
        <v>0.01</v>
      </c>
      <c r="L5" s="11">
        <v>0.01</v>
      </c>
      <c r="M5" s="16">
        <f>(SUM(J5:K5:L5))/3</f>
        <v>0.01</v>
      </c>
      <c r="N5" s="11">
        <v>0</v>
      </c>
      <c r="O5" s="11">
        <v>0</v>
      </c>
      <c r="P5" s="11">
        <v>0</v>
      </c>
      <c r="Q5" s="15">
        <f>(SUM(N5:O5:P5))/3</f>
        <v>0</v>
      </c>
      <c r="R5" s="11">
        <v>0</v>
      </c>
      <c r="S5" s="11">
        <v>0</v>
      </c>
      <c r="T5" s="11">
        <v>0</v>
      </c>
      <c r="U5" s="15">
        <f>(SUM(R5:S5:T5))/3</f>
        <v>0</v>
      </c>
    </row>
    <row r="6" spans="1:21" x14ac:dyDescent="0.25">
      <c r="A6" s="9" t="s">
        <v>14</v>
      </c>
      <c r="B6" s="1" t="s">
        <v>9</v>
      </c>
      <c r="C6" s="8" t="s">
        <v>116</v>
      </c>
      <c r="D6" s="10" t="s">
        <v>117</v>
      </c>
      <c r="E6">
        <v>474.23</v>
      </c>
      <c r="F6" s="5" t="s">
        <v>32</v>
      </c>
      <c r="G6" s="5">
        <v>260.33999999999997</v>
      </c>
      <c r="H6" s="5" t="s">
        <v>53</v>
      </c>
      <c r="I6" s="2" t="s">
        <v>66</v>
      </c>
      <c r="J6" s="11">
        <v>0</v>
      </c>
      <c r="K6" s="11">
        <v>0</v>
      </c>
      <c r="L6" s="11">
        <v>0</v>
      </c>
      <c r="M6" s="16">
        <f>(SUM(J6:K6:L6))/3</f>
        <v>0</v>
      </c>
      <c r="N6" s="11">
        <v>0</v>
      </c>
      <c r="O6" s="11">
        <v>2834.5</v>
      </c>
      <c r="P6" s="11">
        <v>0</v>
      </c>
      <c r="Q6" s="15">
        <f>(SUM(N6:O6:P6))/3</f>
        <v>944.83333333333337</v>
      </c>
      <c r="R6" s="11">
        <v>0</v>
      </c>
      <c r="S6" s="11">
        <v>0</v>
      </c>
      <c r="T6" s="11">
        <v>0</v>
      </c>
      <c r="U6" s="15">
        <f>(SUM(R6:S6:T6))/3</f>
        <v>0</v>
      </c>
    </row>
    <row r="7" spans="1:21" x14ac:dyDescent="0.25">
      <c r="A7" s="9" t="s">
        <v>15</v>
      </c>
      <c r="B7" s="1" t="s">
        <v>9</v>
      </c>
      <c r="C7" s="10" t="s">
        <v>118</v>
      </c>
      <c r="D7" s="8" t="s">
        <v>119</v>
      </c>
      <c r="E7">
        <v>465.69</v>
      </c>
      <c r="F7" s="5" t="s">
        <v>33</v>
      </c>
      <c r="G7" s="5" t="s">
        <v>42</v>
      </c>
      <c r="H7" s="5" t="s">
        <v>54</v>
      </c>
      <c r="I7" s="2" t="s">
        <v>67</v>
      </c>
      <c r="J7" s="11">
        <v>0</v>
      </c>
      <c r="K7" s="11">
        <v>0</v>
      </c>
      <c r="L7" s="11">
        <v>0</v>
      </c>
      <c r="M7" s="16">
        <f>(SUM(J7:K7:L7))/3</f>
        <v>0</v>
      </c>
      <c r="N7" s="11">
        <v>11.57</v>
      </c>
      <c r="O7" s="11">
        <v>12.3</v>
      </c>
      <c r="P7" s="11">
        <v>12.76</v>
      </c>
      <c r="Q7" s="15">
        <f>(SUM(N7:O7:P7))/3</f>
        <v>12.21</v>
      </c>
      <c r="R7" s="11">
        <v>0</v>
      </c>
      <c r="S7" s="11">
        <v>0</v>
      </c>
      <c r="T7" s="11">
        <v>0</v>
      </c>
      <c r="U7" s="16">
        <f>(SUM(R7:S7:T7))/3</f>
        <v>0</v>
      </c>
    </row>
    <row r="8" spans="1:21" x14ac:dyDescent="0.25">
      <c r="A8" s="9" t="s">
        <v>16</v>
      </c>
      <c r="B8" s="1" t="s">
        <v>9</v>
      </c>
      <c r="C8" s="8" t="s">
        <v>120</v>
      </c>
      <c r="D8" s="10" t="s">
        <v>121</v>
      </c>
      <c r="E8">
        <v>569.4</v>
      </c>
      <c r="F8" s="6">
        <v>18</v>
      </c>
      <c r="G8" s="6" t="s">
        <v>43</v>
      </c>
      <c r="H8" s="6" t="s">
        <v>55</v>
      </c>
      <c r="I8" s="4" t="s">
        <v>68</v>
      </c>
      <c r="J8" s="13">
        <v>0</v>
      </c>
      <c r="K8" s="11">
        <v>0</v>
      </c>
      <c r="L8" s="11">
        <v>0</v>
      </c>
      <c r="M8" s="15">
        <f>(SUM(J8:K8:L8))/3</f>
        <v>0</v>
      </c>
      <c r="N8" s="11">
        <v>0</v>
      </c>
      <c r="O8" s="11">
        <v>0</v>
      </c>
      <c r="P8" s="11">
        <v>0</v>
      </c>
      <c r="Q8" s="15">
        <f>(SUM(N8:O8:P8))/3</f>
        <v>0</v>
      </c>
      <c r="R8" s="11">
        <v>0</v>
      </c>
      <c r="S8" s="11">
        <v>0</v>
      </c>
      <c r="T8" s="11">
        <v>0</v>
      </c>
      <c r="U8" s="15">
        <f>(SUM(R8:S8:T8))/3</f>
        <v>0</v>
      </c>
    </row>
    <row r="9" spans="1:21" x14ac:dyDescent="0.25">
      <c r="A9" s="9" t="s">
        <v>17</v>
      </c>
      <c r="B9" t="s">
        <v>9</v>
      </c>
      <c r="C9" s="8" t="s">
        <v>122</v>
      </c>
      <c r="D9" s="10" t="s">
        <v>123</v>
      </c>
      <c r="E9">
        <v>586.11</v>
      </c>
      <c r="F9" s="6" t="s">
        <v>34</v>
      </c>
      <c r="G9" s="6" t="s">
        <v>44</v>
      </c>
      <c r="H9" s="6" t="s">
        <v>56</v>
      </c>
      <c r="I9" s="4" t="s">
        <v>70</v>
      </c>
      <c r="J9" s="13">
        <v>0</v>
      </c>
      <c r="K9" s="13">
        <v>0</v>
      </c>
      <c r="L9" s="13">
        <v>0</v>
      </c>
      <c r="M9" s="15">
        <f>(SUM(J9:K9:L9))/3</f>
        <v>0</v>
      </c>
      <c r="N9" s="13">
        <v>9.1999999999999993</v>
      </c>
      <c r="O9" s="13">
        <v>4.8</v>
      </c>
      <c r="P9" s="13">
        <v>4.8</v>
      </c>
      <c r="Q9" s="15">
        <f>(SUM(N9:O9:P9))/3</f>
        <v>6.2666666666666666</v>
      </c>
      <c r="R9" s="13">
        <v>0</v>
      </c>
      <c r="S9" s="13">
        <v>0</v>
      </c>
      <c r="T9" s="13">
        <v>0</v>
      </c>
      <c r="U9" s="15">
        <f>(SUM(R9:S9:T9))/3</f>
        <v>0</v>
      </c>
    </row>
    <row r="10" spans="1:21" x14ac:dyDescent="0.25">
      <c r="A10" s="9" t="s">
        <v>18</v>
      </c>
      <c r="B10" t="s">
        <v>9</v>
      </c>
      <c r="C10" s="8" t="s">
        <v>124</v>
      </c>
      <c r="D10" s="8" t="s">
        <v>125</v>
      </c>
      <c r="E10">
        <v>513.80999999999995</v>
      </c>
      <c r="F10" s="6" t="s">
        <v>32</v>
      </c>
      <c r="G10" s="6" t="s">
        <v>45</v>
      </c>
      <c r="H10" s="6" t="s">
        <v>57</v>
      </c>
      <c r="I10" s="4" t="s">
        <v>71</v>
      </c>
      <c r="J10" s="13">
        <v>0.02</v>
      </c>
      <c r="K10" s="14">
        <v>0.01</v>
      </c>
      <c r="L10" s="14">
        <v>0.01</v>
      </c>
      <c r="M10" s="15">
        <f>(SUM(J10:K10:L10))/3</f>
        <v>1.3333333333333334E-2</v>
      </c>
      <c r="N10" s="13">
        <v>0</v>
      </c>
      <c r="O10" s="13">
        <v>0</v>
      </c>
      <c r="P10" s="13">
        <v>0</v>
      </c>
      <c r="Q10" s="15">
        <f>(SUM(N10:O10:P10))/3</f>
        <v>0</v>
      </c>
      <c r="R10" s="13">
        <v>0</v>
      </c>
      <c r="S10" s="13">
        <v>0</v>
      </c>
      <c r="T10" s="13">
        <v>0</v>
      </c>
      <c r="U10" s="15">
        <f>(SUM(R10:S10:T10))/3</f>
        <v>0</v>
      </c>
    </row>
    <row r="11" spans="1:21" x14ac:dyDescent="0.25">
      <c r="A11" s="9" t="s">
        <v>19</v>
      </c>
      <c r="B11" t="s">
        <v>9</v>
      </c>
      <c r="C11" s="8" t="s">
        <v>127</v>
      </c>
      <c r="D11" s="10" t="s">
        <v>128</v>
      </c>
      <c r="E11">
        <v>495.21</v>
      </c>
      <c r="F11" s="6" t="s">
        <v>35</v>
      </c>
      <c r="G11" s="6" t="s">
        <v>46</v>
      </c>
      <c r="H11" s="6" t="s">
        <v>58</v>
      </c>
      <c r="I11" s="4" t="s">
        <v>72</v>
      </c>
      <c r="J11" s="13">
        <v>0</v>
      </c>
      <c r="K11" s="13">
        <v>0</v>
      </c>
      <c r="L11" s="13">
        <v>0</v>
      </c>
      <c r="M11" s="15">
        <f>(SUM(J11:K11:L11))/3</f>
        <v>0</v>
      </c>
      <c r="N11" s="13">
        <v>14</v>
      </c>
      <c r="O11" s="13">
        <v>14.4</v>
      </c>
      <c r="P11" s="13">
        <v>14.5</v>
      </c>
      <c r="Q11" s="15">
        <f>(SUM(N11:O11:P11))/3</f>
        <v>14.299999999999999</v>
      </c>
      <c r="R11" s="13">
        <v>0</v>
      </c>
      <c r="S11" s="13">
        <v>0</v>
      </c>
      <c r="T11" s="13">
        <v>0</v>
      </c>
      <c r="U11" s="15">
        <f>(SUM(R11:S11:T11))/3</f>
        <v>0</v>
      </c>
    </row>
    <row r="12" spans="1:21" x14ac:dyDescent="0.25">
      <c r="A12" s="9" t="s">
        <v>20</v>
      </c>
      <c r="B12" t="s">
        <v>9</v>
      </c>
      <c r="C12" s="10" t="s">
        <v>129</v>
      </c>
      <c r="D12" s="8" t="s">
        <v>130</v>
      </c>
      <c r="E12">
        <v>576.57000000000005</v>
      </c>
      <c r="F12" s="6" t="s">
        <v>36</v>
      </c>
      <c r="G12" s="6" t="s">
        <v>47</v>
      </c>
      <c r="H12" s="6" t="s">
        <v>59</v>
      </c>
      <c r="I12" s="4" t="s">
        <v>73</v>
      </c>
      <c r="J12" s="13">
        <v>0</v>
      </c>
      <c r="K12" s="13">
        <v>0</v>
      </c>
      <c r="L12" s="13">
        <v>15.85</v>
      </c>
      <c r="M12" s="15">
        <f>(SUM(J12:K12:L12))/3</f>
        <v>5.2833333333333332</v>
      </c>
      <c r="N12" s="13">
        <v>50.8</v>
      </c>
      <c r="O12" s="13">
        <v>49.84</v>
      </c>
      <c r="P12" s="13">
        <v>0</v>
      </c>
      <c r="Q12" s="15">
        <f>(SUM(N12:O12:P12))/3</f>
        <v>33.546666666666667</v>
      </c>
      <c r="R12" s="13">
        <v>0</v>
      </c>
      <c r="S12" s="13">
        <v>0</v>
      </c>
      <c r="T12" s="13">
        <v>0</v>
      </c>
      <c r="U12" s="15">
        <f>(SUM(R12:S12:T12))/3</f>
        <v>0</v>
      </c>
    </row>
    <row r="13" spans="1:21" x14ac:dyDescent="0.25">
      <c r="A13" s="9" t="s">
        <v>21</v>
      </c>
      <c r="B13" t="s">
        <v>9</v>
      </c>
      <c r="C13" s="8" t="s">
        <v>133</v>
      </c>
      <c r="D13" s="8" t="s">
        <v>134</v>
      </c>
      <c r="E13">
        <v>545.83000000000004</v>
      </c>
      <c r="F13" s="6" t="s">
        <v>37</v>
      </c>
      <c r="G13" s="6" t="s">
        <v>48</v>
      </c>
      <c r="H13" s="6" t="s">
        <v>60</v>
      </c>
      <c r="I13" s="4" t="s">
        <v>74</v>
      </c>
      <c r="J13" s="13">
        <v>0</v>
      </c>
      <c r="K13" s="13">
        <v>0</v>
      </c>
      <c r="L13" s="13">
        <v>0</v>
      </c>
      <c r="M13" s="15">
        <f>(SUM(J13:K13:L13))/3</f>
        <v>0</v>
      </c>
      <c r="N13" s="13">
        <v>0</v>
      </c>
      <c r="O13" s="13">
        <v>0.84</v>
      </c>
      <c r="P13" s="13">
        <v>0.83</v>
      </c>
      <c r="Q13" s="15">
        <f>(SUM(N13:O13:P13))/3</f>
        <v>0.55666666666666664</v>
      </c>
      <c r="R13" s="13">
        <v>0</v>
      </c>
      <c r="S13" s="13">
        <v>0</v>
      </c>
      <c r="T13" s="13">
        <v>0</v>
      </c>
      <c r="U13" s="15">
        <f>(SUM(R13:S13:T13))/3</f>
        <v>0</v>
      </c>
    </row>
    <row r="14" spans="1:21" x14ac:dyDescent="0.25">
      <c r="A14" s="9" t="s">
        <v>22</v>
      </c>
      <c r="B14" t="s">
        <v>9</v>
      </c>
      <c r="C14" s="8" t="s">
        <v>131</v>
      </c>
      <c r="D14" s="8" t="s">
        <v>132</v>
      </c>
      <c r="E14">
        <v>554.66999999999996</v>
      </c>
      <c r="F14" s="6">
        <v>19</v>
      </c>
      <c r="G14" s="6">
        <v>222.2</v>
      </c>
      <c r="H14" s="6" t="s">
        <v>61</v>
      </c>
      <c r="I14" s="4" t="s">
        <v>69</v>
      </c>
      <c r="J14" s="13">
        <v>0</v>
      </c>
      <c r="K14" s="13">
        <v>0</v>
      </c>
      <c r="L14" s="13">
        <v>0</v>
      </c>
      <c r="M14" s="15">
        <f>(SUM(J14:K14:L14))/3</f>
        <v>0</v>
      </c>
      <c r="N14" s="13">
        <v>0</v>
      </c>
      <c r="O14" s="13">
        <v>0</v>
      </c>
      <c r="P14" s="13">
        <v>0</v>
      </c>
      <c r="Q14" s="15">
        <f>(SUM(N14:O14:P14))/3</f>
        <v>0</v>
      </c>
      <c r="R14" s="13">
        <v>0</v>
      </c>
      <c r="S14" s="13">
        <v>0</v>
      </c>
      <c r="T14" s="13">
        <v>0</v>
      </c>
      <c r="U14" s="15">
        <f>(SUM(R14:S14:T14))/3</f>
        <v>0</v>
      </c>
    </row>
    <row r="15" spans="1:21" x14ac:dyDescent="0.25">
      <c r="A15" s="1"/>
      <c r="C15" s="3"/>
      <c r="D15" s="3"/>
      <c r="F15" s="6"/>
      <c r="G15" s="6"/>
      <c r="H15" s="6"/>
      <c r="I15" s="4"/>
      <c r="J15" s="6"/>
    </row>
  </sheetData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 r:id="rId1"/>
  <ignoredErrors>
    <ignoredError sqref="C2:C4 D2:D4 C5:C8 D5:D8 C9 D9 C10:C11 D10:D11 C12:C13 D12:D13 C14:D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activeCell="B18" sqref="B18"/>
    </sheetView>
  </sheetViews>
  <sheetFormatPr defaultRowHeight="15" x14ac:dyDescent="0.25"/>
  <cols>
    <col min="2" max="2" width="12.140625" customWidth="1"/>
    <col min="3" max="4" width="11.28515625" customWidth="1"/>
    <col min="5" max="6" width="11.7109375" customWidth="1"/>
    <col min="7" max="7" width="11.42578125" customWidth="1"/>
    <col min="8" max="8" width="9.5703125" customWidth="1"/>
    <col min="14" max="14" width="10.7109375" customWidth="1"/>
    <col min="15" max="16" width="10.28515625" customWidth="1"/>
    <col min="17" max="18" width="10.5703125" customWidth="1"/>
    <col min="19" max="19" width="10" customWidth="1"/>
    <col min="22" max="22" width="28.7109375" customWidth="1"/>
  </cols>
  <sheetData>
    <row r="1" spans="1:22" x14ac:dyDescent="0.25">
      <c r="A1" s="7" t="s">
        <v>26</v>
      </c>
      <c r="B1" s="7" t="s">
        <v>149</v>
      </c>
      <c r="C1" s="7" t="s">
        <v>149</v>
      </c>
      <c r="D1" s="7" t="s">
        <v>150</v>
      </c>
      <c r="E1" s="7" t="s">
        <v>150</v>
      </c>
      <c r="F1" s="7" t="s">
        <v>151</v>
      </c>
      <c r="G1" s="7" t="s">
        <v>151</v>
      </c>
      <c r="H1" s="7" t="s">
        <v>152</v>
      </c>
      <c r="I1" s="7" t="s">
        <v>152</v>
      </c>
      <c r="J1" s="7" t="s">
        <v>153</v>
      </c>
      <c r="K1" s="7" t="s">
        <v>153</v>
      </c>
      <c r="L1" s="7" t="s">
        <v>154</v>
      </c>
      <c r="M1" s="7" t="s">
        <v>154</v>
      </c>
      <c r="N1" s="7" t="s">
        <v>155</v>
      </c>
      <c r="O1" s="7" t="s">
        <v>155</v>
      </c>
      <c r="P1" s="7" t="s">
        <v>156</v>
      </c>
      <c r="Q1" s="7" t="s">
        <v>156</v>
      </c>
      <c r="R1" s="7" t="s">
        <v>157</v>
      </c>
      <c r="S1" s="7" t="s">
        <v>157</v>
      </c>
      <c r="U1" s="7" t="s">
        <v>27</v>
      </c>
      <c r="V1" s="7" t="s">
        <v>158</v>
      </c>
    </row>
    <row r="2" spans="1:22" x14ac:dyDescent="0.25">
      <c r="A2" t="s">
        <v>10</v>
      </c>
      <c r="B2" s="17">
        <f>31.6 * 0.0316857</f>
        <v>1.00126812</v>
      </c>
      <c r="C2" s="18">
        <f>((B2)/12)*3</f>
        <v>0.25031703</v>
      </c>
      <c r="D2" s="17">
        <f xml:space="preserve"> 69.74 * 0.0316857</f>
        <v>2.2097607179999996</v>
      </c>
      <c r="E2" s="18">
        <f t="shared" ref="E2:E14" si="0">((D2)/12)*3</f>
        <v>0.55244017949999991</v>
      </c>
      <c r="F2" s="17">
        <f xml:space="preserve"> 67.08 * 0.0316857</f>
        <v>2.1254767559999999</v>
      </c>
      <c r="G2" s="18">
        <f t="shared" ref="G2:G14" si="1">((F2)/12)*3</f>
        <v>0.53136918899999996</v>
      </c>
      <c r="H2" s="17">
        <f xml:space="preserve"> 60.37 * 0.0316857</f>
        <v>1.9128657089999999</v>
      </c>
      <c r="I2" s="19">
        <f t="shared" ref="I2:I14" si="2">((H2)/12)*3</f>
        <v>0.47821642725000002</v>
      </c>
      <c r="J2" s="17">
        <f xml:space="preserve"> 130.83 * 0.0316857</f>
        <v>4.145440131</v>
      </c>
      <c r="K2" s="20">
        <f t="shared" ref="K2:K14" si="3">((J2)/12)*3</f>
        <v>1.03636003275</v>
      </c>
      <c r="L2" s="17">
        <f xml:space="preserve"> 260.5 * 0.0316857</f>
        <v>8.2541248499999984</v>
      </c>
      <c r="M2" s="20">
        <f t="shared" ref="M2:M14" si="4">((L2)/12)*3</f>
        <v>2.0635312124999996</v>
      </c>
      <c r="N2" s="17">
        <f xml:space="preserve"> 28.43 * 0.0316857</f>
        <v>0.90082445099999986</v>
      </c>
      <c r="O2" s="20">
        <f t="shared" ref="O2:O14" si="5">((N2)/12)*3</f>
        <v>0.22520611274999996</v>
      </c>
      <c r="P2" s="17">
        <f xml:space="preserve"> 61.03 * 0.0316857</f>
        <v>1.9337782709999998</v>
      </c>
      <c r="Q2" s="20">
        <f t="shared" ref="Q2:Q14" si="6">((P2)/12)*3</f>
        <v>0.48344456775</v>
      </c>
      <c r="R2" s="17">
        <f xml:space="preserve"> 110.75 * 0.0316857</f>
        <v>3.5091912749999996</v>
      </c>
      <c r="S2" s="20">
        <f t="shared" ref="S2:S14" si="7">((R2)/12)*3</f>
        <v>0.87729781874999979</v>
      </c>
      <c r="U2">
        <v>1</v>
      </c>
      <c r="V2" t="s">
        <v>159</v>
      </c>
    </row>
    <row r="3" spans="1:22" x14ac:dyDescent="0.25">
      <c r="A3" t="s">
        <v>11</v>
      </c>
      <c r="B3" s="17">
        <f xml:space="preserve"> 3.46 * 0.0316857</f>
        <v>0.10963252199999998</v>
      </c>
      <c r="C3" s="18">
        <f t="shared" ref="C3:C14" si="8">((B3)/12)*3</f>
        <v>2.7408130499999996E-2</v>
      </c>
      <c r="D3" s="17">
        <f>4.28 * 0.0316857</f>
        <v>0.13561479600000001</v>
      </c>
      <c r="E3" s="18">
        <f t="shared" si="0"/>
        <v>3.3903699000000002E-2</v>
      </c>
      <c r="F3" s="17">
        <f xml:space="preserve"> 2.68 * 0.0316857</f>
        <v>8.4917675999999997E-2</v>
      </c>
      <c r="G3" s="18">
        <f t="shared" si="1"/>
        <v>2.1229418999999999E-2</v>
      </c>
      <c r="H3" s="17">
        <f xml:space="preserve"> 7.45 * 0.0316857</f>
        <v>0.236058465</v>
      </c>
      <c r="I3" s="20">
        <f t="shared" si="2"/>
        <v>5.9014616249999999E-2</v>
      </c>
      <c r="J3" s="17">
        <f xml:space="preserve"> 6.6 * 0.0316857</f>
        <v>0.20912561999999996</v>
      </c>
      <c r="K3" s="20">
        <f t="shared" si="3"/>
        <v>5.2281404999999989E-2</v>
      </c>
      <c r="L3" s="17">
        <f xml:space="preserve"> 18.34 * 0.0316857</f>
        <v>0.58111573799999994</v>
      </c>
      <c r="M3" s="20">
        <f t="shared" si="4"/>
        <v>0.14527893449999998</v>
      </c>
      <c r="N3" s="17">
        <v>0</v>
      </c>
      <c r="O3" s="20">
        <f t="shared" si="5"/>
        <v>0</v>
      </c>
      <c r="P3" s="17">
        <v>0</v>
      </c>
      <c r="Q3" s="20">
        <f t="shared" si="6"/>
        <v>0</v>
      </c>
      <c r="R3" s="17">
        <v>0</v>
      </c>
      <c r="S3" s="20">
        <f t="shared" si="7"/>
        <v>0</v>
      </c>
      <c r="U3">
        <v>2</v>
      </c>
      <c r="V3" t="s">
        <v>160</v>
      </c>
    </row>
    <row r="4" spans="1:22" x14ac:dyDescent="0.25">
      <c r="A4" t="s">
        <v>12</v>
      </c>
      <c r="B4" s="17">
        <v>0</v>
      </c>
      <c r="C4" s="18">
        <f t="shared" si="8"/>
        <v>0</v>
      </c>
      <c r="D4" s="17">
        <v>0</v>
      </c>
      <c r="E4" s="18">
        <f t="shared" si="0"/>
        <v>0</v>
      </c>
      <c r="F4" s="17">
        <f xml:space="preserve"> 0.15 * 0.0316857</f>
        <v>4.7528549999999994E-3</v>
      </c>
      <c r="G4" s="18">
        <f t="shared" si="1"/>
        <v>1.1882137499999999E-3</v>
      </c>
      <c r="H4" s="17">
        <v>0</v>
      </c>
      <c r="I4" s="20">
        <f t="shared" si="2"/>
        <v>0</v>
      </c>
      <c r="J4" s="17">
        <v>0</v>
      </c>
      <c r="K4" s="20">
        <f t="shared" si="3"/>
        <v>0</v>
      </c>
      <c r="L4" s="17">
        <f xml:space="preserve"> 11.12 * 0.0316857</f>
        <v>0.35234498399999992</v>
      </c>
      <c r="M4" s="20">
        <f t="shared" si="4"/>
        <v>8.8086245999999979E-2</v>
      </c>
      <c r="N4" s="17">
        <v>0</v>
      </c>
      <c r="O4" s="20">
        <f t="shared" si="5"/>
        <v>0</v>
      </c>
      <c r="P4" s="17">
        <v>0</v>
      </c>
      <c r="Q4" s="20">
        <f t="shared" si="6"/>
        <v>0</v>
      </c>
      <c r="R4" s="17">
        <v>0</v>
      </c>
      <c r="S4" s="20">
        <f t="shared" si="7"/>
        <v>0</v>
      </c>
      <c r="U4">
        <v>3</v>
      </c>
      <c r="V4" t="s">
        <v>161</v>
      </c>
    </row>
    <row r="5" spans="1:22" x14ac:dyDescent="0.25">
      <c r="A5" t="s">
        <v>13</v>
      </c>
      <c r="B5" s="17">
        <f xml:space="preserve"> 0.01 * 0.0316857</f>
        <v>3.1685699999999998E-4</v>
      </c>
      <c r="C5" s="18">
        <f t="shared" si="8"/>
        <v>7.9214249999999995E-5</v>
      </c>
      <c r="D5" s="17">
        <f xml:space="preserve"> 0.01 * 0.0316857</f>
        <v>3.1685699999999998E-4</v>
      </c>
      <c r="E5" s="18">
        <f t="shared" si="0"/>
        <v>7.9214249999999995E-5</v>
      </c>
      <c r="F5" s="17">
        <f xml:space="preserve"> 0.01 * 0.0316857</f>
        <v>3.1685699999999998E-4</v>
      </c>
      <c r="G5" s="18">
        <f t="shared" si="1"/>
        <v>7.9214249999999995E-5</v>
      </c>
      <c r="H5" s="17">
        <v>0</v>
      </c>
      <c r="I5" s="20">
        <f t="shared" si="2"/>
        <v>0</v>
      </c>
      <c r="J5" s="17">
        <v>0</v>
      </c>
      <c r="K5" s="20">
        <f t="shared" si="3"/>
        <v>0</v>
      </c>
      <c r="L5" s="17">
        <v>0</v>
      </c>
      <c r="M5" s="20">
        <f t="shared" si="4"/>
        <v>0</v>
      </c>
      <c r="N5" s="17">
        <v>0</v>
      </c>
      <c r="O5" s="20">
        <f t="shared" si="5"/>
        <v>0</v>
      </c>
      <c r="P5" s="17">
        <v>0</v>
      </c>
      <c r="Q5" s="20">
        <f t="shared" si="6"/>
        <v>0</v>
      </c>
      <c r="R5" s="17">
        <v>0</v>
      </c>
      <c r="S5" s="20">
        <f t="shared" si="7"/>
        <v>0</v>
      </c>
      <c r="U5">
        <v>4</v>
      </c>
      <c r="V5" t="s">
        <v>162</v>
      </c>
    </row>
    <row r="6" spans="1:22" x14ac:dyDescent="0.25">
      <c r="A6" t="s">
        <v>14</v>
      </c>
      <c r="B6" s="17">
        <v>0</v>
      </c>
      <c r="C6" s="18">
        <f t="shared" si="8"/>
        <v>0</v>
      </c>
      <c r="D6" s="17">
        <v>0</v>
      </c>
      <c r="E6" s="18">
        <f t="shared" si="0"/>
        <v>0</v>
      </c>
      <c r="F6" s="17">
        <v>0</v>
      </c>
      <c r="G6" s="18">
        <f t="shared" si="1"/>
        <v>0</v>
      </c>
      <c r="H6" s="17">
        <v>0</v>
      </c>
      <c r="I6" s="20">
        <f t="shared" si="2"/>
        <v>0</v>
      </c>
      <c r="J6" s="17">
        <f xml:space="preserve"> 2834.5 * 0.0316857</f>
        <v>89.813116649999998</v>
      </c>
      <c r="K6" s="20">
        <f t="shared" si="3"/>
        <v>22.453279162499999</v>
      </c>
      <c r="L6" s="17">
        <v>0</v>
      </c>
      <c r="M6" s="20">
        <f t="shared" si="4"/>
        <v>0</v>
      </c>
      <c r="N6" s="17">
        <v>0</v>
      </c>
      <c r="O6" s="20">
        <f t="shared" si="5"/>
        <v>0</v>
      </c>
      <c r="P6" s="17">
        <v>0</v>
      </c>
      <c r="Q6" s="20">
        <f t="shared" si="6"/>
        <v>0</v>
      </c>
      <c r="R6" s="17">
        <v>0</v>
      </c>
      <c r="S6" s="20">
        <f t="shared" si="7"/>
        <v>0</v>
      </c>
    </row>
    <row r="7" spans="1:22" x14ac:dyDescent="0.25">
      <c r="A7" t="s">
        <v>15</v>
      </c>
      <c r="B7" s="17">
        <v>0</v>
      </c>
      <c r="C7" s="18">
        <f t="shared" si="8"/>
        <v>0</v>
      </c>
      <c r="D7" s="17">
        <v>0</v>
      </c>
      <c r="E7" s="18">
        <f t="shared" si="0"/>
        <v>0</v>
      </c>
      <c r="F7" s="17">
        <v>0</v>
      </c>
      <c r="G7" s="18">
        <f t="shared" si="1"/>
        <v>0</v>
      </c>
      <c r="H7" s="17">
        <f xml:space="preserve"> 11.57 * 0.0316857</f>
        <v>0.36660354899999997</v>
      </c>
      <c r="I7" s="20">
        <f t="shared" si="2"/>
        <v>9.1650887249999993E-2</v>
      </c>
      <c r="J7" s="17">
        <f xml:space="preserve"> 12.3 * 0.0316857</f>
        <v>0.38973410999999997</v>
      </c>
      <c r="K7" s="20">
        <f t="shared" si="3"/>
        <v>9.7433527500000006E-2</v>
      </c>
      <c r="L7" s="17">
        <f xml:space="preserve"> 12.76 * 0.0316857</f>
        <v>0.40430953199999997</v>
      </c>
      <c r="M7" s="20">
        <f t="shared" si="4"/>
        <v>0.10107738299999999</v>
      </c>
      <c r="N7" s="17">
        <v>0</v>
      </c>
      <c r="O7" s="20">
        <f t="shared" si="5"/>
        <v>0</v>
      </c>
      <c r="P7" s="17">
        <v>0</v>
      </c>
      <c r="Q7" s="20">
        <f t="shared" si="6"/>
        <v>0</v>
      </c>
      <c r="R7" s="17">
        <v>0</v>
      </c>
      <c r="S7" s="20">
        <f t="shared" si="7"/>
        <v>0</v>
      </c>
      <c r="U7" s="3"/>
    </row>
    <row r="8" spans="1:22" x14ac:dyDescent="0.25">
      <c r="A8" t="s">
        <v>16</v>
      </c>
      <c r="B8" s="17">
        <v>0</v>
      </c>
      <c r="C8" s="18">
        <f t="shared" si="8"/>
        <v>0</v>
      </c>
      <c r="D8" s="17">
        <v>0</v>
      </c>
      <c r="E8" s="18">
        <f t="shared" si="0"/>
        <v>0</v>
      </c>
      <c r="F8" s="17">
        <v>0</v>
      </c>
      <c r="G8" s="18">
        <f t="shared" si="1"/>
        <v>0</v>
      </c>
      <c r="H8" s="17">
        <v>0</v>
      </c>
      <c r="I8" s="20">
        <f t="shared" si="2"/>
        <v>0</v>
      </c>
      <c r="J8" s="17">
        <v>0</v>
      </c>
      <c r="K8" s="20">
        <f t="shared" si="3"/>
        <v>0</v>
      </c>
      <c r="L8" s="17">
        <v>0</v>
      </c>
      <c r="M8" s="20">
        <f t="shared" si="4"/>
        <v>0</v>
      </c>
      <c r="N8" s="17">
        <v>0</v>
      </c>
      <c r="O8" s="20">
        <f t="shared" si="5"/>
        <v>0</v>
      </c>
      <c r="P8" s="17">
        <v>0</v>
      </c>
      <c r="Q8" s="20">
        <f t="shared" si="6"/>
        <v>0</v>
      </c>
      <c r="R8" s="17">
        <v>0</v>
      </c>
      <c r="S8" s="20">
        <f t="shared" si="7"/>
        <v>0</v>
      </c>
    </row>
    <row r="9" spans="1:22" x14ac:dyDescent="0.25">
      <c r="A9" t="s">
        <v>17</v>
      </c>
      <c r="B9" s="17">
        <v>0</v>
      </c>
      <c r="C9" s="18">
        <f t="shared" si="8"/>
        <v>0</v>
      </c>
      <c r="D9" s="17">
        <v>0</v>
      </c>
      <c r="E9" s="18">
        <f t="shared" si="0"/>
        <v>0</v>
      </c>
      <c r="F9" s="17">
        <v>0</v>
      </c>
      <c r="G9" s="18">
        <f t="shared" si="1"/>
        <v>0</v>
      </c>
      <c r="H9" s="17">
        <f xml:space="preserve"> 9.2 * 0.0316857</f>
        <v>0.29150843999999992</v>
      </c>
      <c r="I9" s="20">
        <f t="shared" si="2"/>
        <v>7.2877109999999981E-2</v>
      </c>
      <c r="J9" s="17">
        <f xml:space="preserve"> 4.8 * 0.0316857</f>
        <v>0.15209135999999998</v>
      </c>
      <c r="K9" s="20">
        <f t="shared" si="3"/>
        <v>3.8022839999999995E-2</v>
      </c>
      <c r="L9" s="17">
        <f xml:space="preserve"> 4.8 * 0.0316857</f>
        <v>0.15209135999999998</v>
      </c>
      <c r="M9" s="20">
        <f t="shared" si="4"/>
        <v>3.8022839999999995E-2</v>
      </c>
      <c r="N9" s="17">
        <v>0</v>
      </c>
      <c r="O9" s="20">
        <f t="shared" si="5"/>
        <v>0</v>
      </c>
      <c r="P9" s="17">
        <v>0</v>
      </c>
      <c r="Q9" s="19">
        <f t="shared" si="6"/>
        <v>0</v>
      </c>
      <c r="R9" s="17">
        <v>0</v>
      </c>
      <c r="S9" s="20">
        <f t="shared" si="7"/>
        <v>0</v>
      </c>
    </row>
    <row r="10" spans="1:22" x14ac:dyDescent="0.25">
      <c r="A10" t="s">
        <v>18</v>
      </c>
      <c r="B10" s="17">
        <f xml:space="preserve"> 0.02 * 0.0316857</f>
        <v>6.3371399999999996E-4</v>
      </c>
      <c r="C10" s="18">
        <f t="shared" si="8"/>
        <v>1.5842849999999999E-4</v>
      </c>
      <c r="D10" s="17">
        <f xml:space="preserve"> 0.01 * 0.0316857</f>
        <v>3.1685699999999998E-4</v>
      </c>
      <c r="E10" s="18">
        <f t="shared" si="0"/>
        <v>7.9214249999999995E-5</v>
      </c>
      <c r="F10" s="17">
        <f xml:space="preserve"> 0.01 * 0.0316857</f>
        <v>3.1685699999999998E-4</v>
      </c>
      <c r="G10" s="18">
        <f t="shared" si="1"/>
        <v>7.9214249999999995E-5</v>
      </c>
      <c r="H10" s="17">
        <v>0</v>
      </c>
      <c r="I10" s="20">
        <f t="shared" si="2"/>
        <v>0</v>
      </c>
      <c r="J10" s="17">
        <v>0</v>
      </c>
      <c r="K10" s="20">
        <f t="shared" si="3"/>
        <v>0</v>
      </c>
      <c r="L10" s="17">
        <v>0</v>
      </c>
      <c r="M10" s="20">
        <f t="shared" si="4"/>
        <v>0</v>
      </c>
      <c r="N10" s="17">
        <v>0</v>
      </c>
      <c r="O10" s="20">
        <f t="shared" si="5"/>
        <v>0</v>
      </c>
      <c r="P10" s="17">
        <v>0</v>
      </c>
      <c r="Q10" s="20">
        <f t="shared" si="6"/>
        <v>0</v>
      </c>
      <c r="R10" s="17">
        <v>0</v>
      </c>
      <c r="S10" s="20">
        <f t="shared" si="7"/>
        <v>0</v>
      </c>
    </row>
    <row r="11" spans="1:22" x14ac:dyDescent="0.25">
      <c r="A11" t="s">
        <v>19</v>
      </c>
      <c r="B11" s="17">
        <v>0</v>
      </c>
      <c r="C11" s="18">
        <f t="shared" si="8"/>
        <v>0</v>
      </c>
      <c r="D11" s="17">
        <v>0</v>
      </c>
      <c r="E11" s="18">
        <f t="shared" si="0"/>
        <v>0</v>
      </c>
      <c r="F11" s="17">
        <v>0</v>
      </c>
      <c r="G11" s="18">
        <f t="shared" si="1"/>
        <v>0</v>
      </c>
      <c r="H11" s="17">
        <f xml:space="preserve"> 14 * 0.0316857</f>
        <v>0.44359979999999999</v>
      </c>
      <c r="I11" s="20">
        <f t="shared" si="2"/>
        <v>0.11089995</v>
      </c>
      <c r="J11" s="17">
        <f xml:space="preserve"> 14.4 * 0.0316857</f>
        <v>0.45627407999999997</v>
      </c>
      <c r="K11" s="20">
        <f t="shared" si="3"/>
        <v>0.11406851999999998</v>
      </c>
      <c r="L11" s="17">
        <f xml:space="preserve"> 14.5 * 0.0316857</f>
        <v>0.45944264999999995</v>
      </c>
      <c r="M11" s="20">
        <f t="shared" si="4"/>
        <v>0.11486066249999999</v>
      </c>
      <c r="N11" s="17">
        <v>0</v>
      </c>
      <c r="O11" s="20">
        <f t="shared" si="5"/>
        <v>0</v>
      </c>
      <c r="P11" s="17">
        <v>0</v>
      </c>
      <c r="Q11" s="20">
        <f t="shared" si="6"/>
        <v>0</v>
      </c>
      <c r="R11" s="17">
        <v>0</v>
      </c>
      <c r="S11" s="20">
        <f t="shared" si="7"/>
        <v>0</v>
      </c>
    </row>
    <row r="12" spans="1:22" x14ac:dyDescent="0.25">
      <c r="A12" t="s">
        <v>20</v>
      </c>
      <c r="B12" s="17">
        <v>0</v>
      </c>
      <c r="C12" s="18">
        <f t="shared" si="8"/>
        <v>0</v>
      </c>
      <c r="D12" s="17">
        <v>0</v>
      </c>
      <c r="E12" s="18">
        <f t="shared" si="0"/>
        <v>0</v>
      </c>
      <c r="F12" s="17">
        <f xml:space="preserve"> 15.85 * 0.0316857</f>
        <v>0.50221834499999995</v>
      </c>
      <c r="G12" s="18">
        <f t="shared" si="1"/>
        <v>0.12555458624999999</v>
      </c>
      <c r="H12" s="17">
        <f xml:space="preserve"> 50.8 * 0.0316857</f>
        <v>1.6096335599999998</v>
      </c>
      <c r="I12" s="20">
        <f t="shared" si="2"/>
        <v>0.40240838999999995</v>
      </c>
      <c r="J12" s="17">
        <f xml:space="preserve"> 49.84 * 0.0316857</f>
        <v>1.5792152879999999</v>
      </c>
      <c r="K12" s="20">
        <f t="shared" si="3"/>
        <v>0.39480382199999997</v>
      </c>
      <c r="L12" s="17">
        <v>0</v>
      </c>
      <c r="M12" s="20">
        <f t="shared" si="4"/>
        <v>0</v>
      </c>
      <c r="N12" s="17">
        <v>0</v>
      </c>
      <c r="O12" s="20">
        <f t="shared" si="5"/>
        <v>0</v>
      </c>
      <c r="P12" s="17">
        <v>0</v>
      </c>
      <c r="Q12" s="20">
        <f t="shared" si="6"/>
        <v>0</v>
      </c>
      <c r="R12" s="17">
        <v>0</v>
      </c>
      <c r="S12" s="20">
        <f t="shared" si="7"/>
        <v>0</v>
      </c>
    </row>
    <row r="13" spans="1:22" x14ac:dyDescent="0.25">
      <c r="A13" t="s">
        <v>21</v>
      </c>
      <c r="B13" s="17">
        <v>0</v>
      </c>
      <c r="C13" s="18">
        <f t="shared" si="8"/>
        <v>0</v>
      </c>
      <c r="D13" s="17">
        <v>0</v>
      </c>
      <c r="E13" s="18">
        <f t="shared" si="0"/>
        <v>0</v>
      </c>
      <c r="F13" s="17">
        <v>0</v>
      </c>
      <c r="G13" s="18">
        <f t="shared" si="1"/>
        <v>0</v>
      </c>
      <c r="H13" s="17">
        <v>0</v>
      </c>
      <c r="I13" s="20">
        <f t="shared" si="2"/>
        <v>0</v>
      </c>
      <c r="J13" s="17">
        <f xml:space="preserve"> 0.84 * 0.0316857</f>
        <v>2.6615987999999997E-2</v>
      </c>
      <c r="K13" s="20">
        <f t="shared" si="3"/>
        <v>6.6539969999999983E-3</v>
      </c>
      <c r="L13" s="17">
        <f xml:space="preserve"> 0.83 * 0.0316857</f>
        <v>2.6299130999999996E-2</v>
      </c>
      <c r="M13" s="20">
        <f t="shared" si="4"/>
        <v>6.5747827499999991E-3</v>
      </c>
      <c r="N13" s="17">
        <v>0</v>
      </c>
      <c r="O13" s="20">
        <f t="shared" si="5"/>
        <v>0</v>
      </c>
      <c r="P13" s="17">
        <v>0</v>
      </c>
      <c r="Q13" s="20">
        <f t="shared" si="6"/>
        <v>0</v>
      </c>
      <c r="R13" s="17">
        <v>0</v>
      </c>
      <c r="S13" s="20">
        <f t="shared" si="7"/>
        <v>0</v>
      </c>
    </row>
    <row r="14" spans="1:22" x14ac:dyDescent="0.25">
      <c r="A14" t="s">
        <v>22</v>
      </c>
      <c r="B14" s="17">
        <v>0</v>
      </c>
      <c r="C14" s="18">
        <f t="shared" si="8"/>
        <v>0</v>
      </c>
      <c r="D14" s="17">
        <v>0</v>
      </c>
      <c r="E14" s="18">
        <f t="shared" si="0"/>
        <v>0</v>
      </c>
      <c r="F14" s="17">
        <v>0</v>
      </c>
      <c r="G14" s="18">
        <f t="shared" si="1"/>
        <v>0</v>
      </c>
      <c r="H14" s="17">
        <v>0</v>
      </c>
      <c r="I14" s="20">
        <f t="shared" si="2"/>
        <v>0</v>
      </c>
      <c r="J14" s="17">
        <v>0</v>
      </c>
      <c r="K14" s="20">
        <f t="shared" si="3"/>
        <v>0</v>
      </c>
      <c r="L14" s="17">
        <v>0</v>
      </c>
      <c r="M14" s="20">
        <f t="shared" si="4"/>
        <v>0</v>
      </c>
      <c r="N14" s="17">
        <v>0</v>
      </c>
      <c r="O14" s="20">
        <f t="shared" si="5"/>
        <v>0</v>
      </c>
      <c r="P14" s="17">
        <v>0</v>
      </c>
      <c r="Q14" s="20">
        <f t="shared" si="6"/>
        <v>0</v>
      </c>
      <c r="R14" s="17">
        <v>0</v>
      </c>
      <c r="S14" s="20">
        <f t="shared" si="7"/>
        <v>0</v>
      </c>
    </row>
    <row r="16" spans="1:22" x14ac:dyDescent="0.25">
      <c r="A16" t="s">
        <v>163</v>
      </c>
    </row>
    <row r="17" spans="1:2" x14ac:dyDescent="0.25">
      <c r="A17" t="s">
        <v>164</v>
      </c>
    </row>
    <row r="19" spans="1:2" x14ac:dyDescent="0.25">
      <c r="B19" s="3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D2:D3 C5:F5 D10:F10 F2:F4 F12 H2:H3 H7 H9 H11:H12 J2:J3 J6:J7 J9:L9 J11:J13 L2:L4 L7 L11 L13 N2 P2 R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Fontes</vt:lpstr>
      <vt:lpstr>Poluentes</vt:lpstr>
      <vt:lpstr>AERMOD_SOURCE</vt:lpstr>
      <vt:lpstr>Período</vt:lpstr>
      <vt:lpstr>AERMOD_SOURCE!_FiltrarBancodeDados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SAA</dc:creator>
  <dc:description/>
  <cp:lastModifiedBy>Pedro</cp:lastModifiedBy>
  <cp:revision>3</cp:revision>
  <dcterms:created xsi:type="dcterms:W3CDTF">2014-02-11T19:13:29Z</dcterms:created>
  <dcterms:modified xsi:type="dcterms:W3CDTF">2024-06-14T14:20:45Z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6644cfda-507b-45cb-bc89-59e5b5ecf957</vt:lpwstr>
  </property>
</Properties>
</file>